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Leads" sheetId="1" state="visible" r:id="rId1"/>
    <sheet xmlns:r="http://schemas.openxmlformats.org/officeDocument/2006/relationships" name="B2B_Pricing" sheetId="2" state="visible" r:id="rId2"/>
    <sheet xmlns:r="http://schemas.openxmlformats.org/officeDocument/2006/relationships" name="B2C_Pricing" sheetId="3" state="visible" r:id="rId3"/>
    <sheet xmlns:r="http://schemas.openxmlformats.org/officeDocument/2006/relationships" name="Unit_Economics" sheetId="4" state="visible" r:id="rId4"/>
    <sheet xmlns:r="http://schemas.openxmlformats.org/officeDocument/2006/relationships" name="Commercial_Template" sheetId="5" state="visible" r:id="rId5"/>
    <sheet xmlns:r="http://schemas.openxmlformats.org/officeDocument/2006/relationships" name="Project_PnL" sheetId="6" state="visible" r:id="rId6"/>
    <sheet xmlns:r="http://schemas.openxmlformats.org/officeDocument/2006/relationships" name="Cashflow_Forecast" sheetId="7" state="visible" r:id="rId7"/>
    <sheet xmlns:r="http://schemas.openxmlformats.org/officeDocument/2006/relationships" name="Payroll_Model" sheetId="8" state="visible" r:id="rId8"/>
    <sheet xmlns:r="http://schemas.openxmlformats.org/officeDocument/2006/relationships" name="Warehouse_Model" sheetId="9" state="visible" r:id="rId9"/>
    <sheet xmlns:r="http://schemas.openxmlformats.org/officeDocument/2006/relationships" name="KPI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Client_Type (B2B/B2C)</t>
        </is>
      </c>
      <c r="C1" t="inlineStr">
        <is>
          <t>Company/Client Name</t>
        </is>
      </c>
      <c r="D1" t="inlineStr">
        <is>
          <t>Contact Person</t>
        </is>
      </c>
      <c r="E1" t="inlineStr">
        <is>
          <t>Phone</t>
        </is>
      </c>
      <c r="F1" t="inlineStr">
        <is>
          <t>Email</t>
        </is>
      </c>
      <c r="G1" t="inlineStr">
        <is>
          <t>Object Type</t>
        </is>
      </c>
      <c r="H1" t="inlineStr">
        <is>
          <t>Area (m2)</t>
        </is>
      </c>
      <c r="I1" t="inlineStr">
        <is>
          <t>Service Type</t>
        </is>
      </c>
      <c r="J1" t="inlineStr">
        <is>
          <t>Estimated Budget</t>
        </is>
      </c>
      <c r="K1" t="inlineStr">
        <is>
          <t>Stage (Lead/Proposal/Contract/Done)</t>
        </is>
      </c>
      <c r="L1" t="inlineStr">
        <is>
          <t>Probability (%)</t>
        </is>
      </c>
      <c r="M1" t="inlineStr">
        <is>
          <t>Expected Revenue</t>
        </is>
      </c>
      <c r="N1" t="inlineStr">
        <is>
          <t>Source</t>
        </is>
      </c>
      <c r="O1" t="inlineStr">
        <is>
          <t>Manager</t>
        </is>
      </c>
      <c r="P1" t="inlineStr">
        <is>
          <t>Created Date</t>
        </is>
      </c>
      <c r="Q1" t="inlineStr">
        <is>
          <t>Next Action</t>
        </is>
      </c>
      <c r="R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Category</t>
        </is>
      </c>
      <c r="C1" t="inlineStr">
        <is>
          <t>Base Cost (RUB)</t>
        </is>
      </c>
      <c r="D1" t="inlineStr">
        <is>
          <t>Material Cost (RUB)</t>
        </is>
      </c>
      <c r="E1" t="inlineStr">
        <is>
          <t>Labor Cost (RUB)</t>
        </is>
      </c>
      <c r="F1" t="inlineStr">
        <is>
          <t>Total Cost</t>
        </is>
      </c>
      <c r="G1" t="inlineStr">
        <is>
          <t>Recommended Price</t>
        </is>
      </c>
      <c r="H1" t="inlineStr">
        <is>
          <t>Margin (%)</t>
        </is>
      </c>
    </row>
    <row r="2">
      <c r="A2" t="inlineStr">
        <is>
          <t>APS</t>
        </is>
      </c>
      <c r="B2" t="inlineStr">
        <is>
          <t>Project</t>
        </is>
      </c>
      <c r="C2" t="n">
        <v>150000</v>
      </c>
      <c r="D2" t="n">
        <v>0</v>
      </c>
      <c r="E2" t="n">
        <v>90000</v>
      </c>
      <c r="F2">
        <f>C2+D2+E2</f>
        <v/>
      </c>
      <c r="G2">
        <f>F2*1.35</f>
        <v/>
      </c>
      <c r="H2">
        <f>((G2-F2)/G2)*100</f>
        <v/>
      </c>
    </row>
    <row r="3">
      <c r="A3" t="inlineStr">
        <is>
          <t>CCTV</t>
        </is>
      </c>
      <c r="B3" t="inlineStr">
        <is>
          <t>Installation (10 cameras)</t>
        </is>
      </c>
      <c r="C3" t="n">
        <v>400000</v>
      </c>
      <c r="D3" t="n">
        <v>250000</v>
      </c>
      <c r="E3" t="n">
        <v>100000</v>
      </c>
      <c r="F3">
        <f>C3+D3+E3</f>
        <v/>
      </c>
      <c r="G3">
        <f>F3*1.30</f>
        <v/>
      </c>
      <c r="H3">
        <f>((G3-F3)/G3)*100</f>
        <v/>
      </c>
    </row>
    <row r="4">
      <c r="A4" t="inlineStr">
        <is>
          <t>Access Control</t>
        </is>
      </c>
      <c r="B4" t="inlineStr">
        <is>
          <t>Office 50 users</t>
        </is>
      </c>
      <c r="C4" t="n">
        <v>700000</v>
      </c>
      <c r="D4" t="n">
        <v>400000</v>
      </c>
      <c r="E4" t="n">
        <v>200000</v>
      </c>
      <c r="F4">
        <f>C4+D4+E4</f>
        <v/>
      </c>
      <c r="G4">
        <f>F4*1.30</f>
        <v/>
      </c>
      <c r="H4">
        <f>((G4-F4)/G4)*100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Unit</t>
        </is>
      </c>
      <c r="C1" t="inlineStr">
        <is>
          <t>Cost (RUB)</t>
        </is>
      </c>
      <c r="D1" t="inlineStr">
        <is>
          <t>Recommended Retail Price (RUB)</t>
        </is>
      </c>
      <c r="E1" t="inlineStr">
        <is>
          <t>Margin (%)</t>
        </is>
      </c>
    </row>
    <row r="2">
      <c r="A2" t="inlineStr">
        <is>
          <t>Camera Installation</t>
        </is>
      </c>
      <c r="B2" t="inlineStr">
        <is>
          <t>per unit</t>
        </is>
      </c>
      <c r="C2" t="n">
        <v>3000</v>
      </c>
      <c r="D2" t="n">
        <v>5000</v>
      </c>
      <c r="E2">
        <f>((D2-C2)/D2)*100</f>
        <v/>
      </c>
    </row>
    <row r="3">
      <c r="A3" t="inlineStr">
        <is>
          <t>Smoke Detector Install</t>
        </is>
      </c>
      <c r="B3" t="inlineStr">
        <is>
          <t>per unit</t>
        </is>
      </c>
      <c r="C3" t="n">
        <v>1200</v>
      </c>
      <c r="D3" t="n">
        <v>2500</v>
      </c>
      <c r="E3">
        <f>((D3-C3)/D3)*100</f>
        <v/>
      </c>
    </row>
    <row r="4">
      <c r="A4" t="inlineStr">
        <is>
          <t>Electrical Panel Install</t>
        </is>
      </c>
      <c r="B4" t="inlineStr">
        <is>
          <t>per unit</t>
        </is>
      </c>
      <c r="C4" t="n">
        <v>25000</v>
      </c>
      <c r="D4" t="n">
        <v>40000</v>
      </c>
      <c r="E4">
        <f>((D4-C4)/D4)*100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Deal Size (B2B)</t>
        </is>
      </c>
      <c r="B2" t="n">
        <v>5000000</v>
      </c>
    </row>
    <row r="3">
      <c r="A3" t="inlineStr">
        <is>
          <t>Average Deal Size (B2C)</t>
        </is>
      </c>
      <c r="B3" t="n">
        <v>120000</v>
      </c>
    </row>
    <row r="4">
      <c r="A4" t="inlineStr">
        <is>
          <t>Average Gross Margin (%)</t>
        </is>
      </c>
      <c r="B4" t="n">
        <v>30</v>
      </c>
    </row>
    <row r="5">
      <c r="A5" t="inlineStr">
        <is>
          <t>Customer Acquisition Cost (CAC)</t>
        </is>
      </c>
      <c r="B5" t="n">
        <v>50000</v>
      </c>
    </row>
    <row r="6">
      <c r="A6" t="inlineStr">
        <is>
          <t>Monthly Service Revenue (Avg)</t>
        </is>
      </c>
      <c r="B6" t="n">
        <v>15000</v>
      </c>
    </row>
    <row r="7">
      <c r="A7" t="inlineStr">
        <is>
          <t>Client Lifetime (Years)</t>
        </is>
      </c>
      <c r="B7" t="n">
        <v>5</v>
      </c>
    </row>
    <row r="8">
      <c r="A8" t="inlineStr">
        <is>
          <t>LTV (Formula)</t>
        </is>
      </c>
      <c r="B8">
        <f>B6*12*B5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Company Overview</t>
        </is>
      </c>
      <c r="B2" t="inlineStr">
        <is>
          <t>Brief description of company expertise and licenses</t>
        </is>
      </c>
    </row>
    <row r="3">
      <c r="A3" t="inlineStr">
        <is>
          <t>Scope of Work</t>
        </is>
      </c>
      <c r="B3" t="inlineStr">
        <is>
          <t>Detailed list of systems and integration scope</t>
        </is>
      </c>
    </row>
    <row r="4">
      <c r="A4" t="inlineStr">
        <is>
          <t>Technical Solution</t>
        </is>
      </c>
      <c r="B4" t="inlineStr">
        <is>
          <t>Architecture and integration logic</t>
        </is>
      </c>
    </row>
    <row r="5">
      <c r="A5" t="inlineStr">
        <is>
          <t>Project Timeline</t>
        </is>
      </c>
      <c r="B5" t="inlineStr">
        <is>
          <t>Estimated duration and milestones</t>
        </is>
      </c>
    </row>
    <row r="6">
      <c r="A6" t="inlineStr">
        <is>
          <t>Cost Breakdown</t>
        </is>
      </c>
      <c r="B6" t="inlineStr">
        <is>
          <t>Equipment, labor, commissioning</t>
        </is>
      </c>
    </row>
    <row r="7">
      <c r="A7" t="inlineStr">
        <is>
          <t>Service Agreement</t>
        </is>
      </c>
      <c r="B7" t="inlineStr">
        <is>
          <t>Maintenance terms and SLA</t>
        </is>
      </c>
    </row>
    <row r="8">
      <c r="A8" t="inlineStr">
        <is>
          <t>Total Investment</t>
        </is>
      </c>
      <c r="B8" t="inlineStr">
        <is>
          <t>Final commercial offer with validity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Revenue</t>
        </is>
      </c>
      <c r="C1" t="inlineStr">
        <is>
          <t>Equipment Cost</t>
        </is>
      </c>
      <c r="D1" t="inlineStr">
        <is>
          <t>Labor Cost</t>
        </is>
      </c>
      <c r="E1" t="inlineStr">
        <is>
          <t>Subcontract Cost</t>
        </is>
      </c>
      <c r="F1" t="inlineStr">
        <is>
          <t>Overhead Allocation</t>
        </is>
      </c>
      <c r="G1" t="inlineStr">
        <is>
          <t>Total Cost</t>
        </is>
      </c>
      <c r="H1" t="inlineStr">
        <is>
          <t>Gross Profit</t>
        </is>
      </c>
      <c r="I1" t="inlineStr">
        <is>
          <t>Gross Margin (%)</t>
        </is>
      </c>
    </row>
    <row r="2">
      <c r="A2" t="inlineStr">
        <is>
          <t>Sample Project</t>
        </is>
      </c>
      <c r="B2" t="n">
        <v>5000000</v>
      </c>
      <c r="C2" t="n">
        <v>2500000</v>
      </c>
      <c r="D2" t="n">
        <v>800000</v>
      </c>
      <c r="E2" t="n">
        <v>300000</v>
      </c>
      <c r="F2" t="n">
        <v>200000</v>
      </c>
      <c r="G2">
        <f>C2+D2+E2+F2</f>
        <v/>
      </c>
      <c r="H2">
        <f>B2-G2</f>
        <v/>
      </c>
      <c r="I2">
        <f>H2/B2*100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Incoming (Contracts)</t>
        </is>
      </c>
      <c r="D1" t="inlineStr">
        <is>
          <t>Outgoing (Costs)</t>
        </is>
      </c>
      <c r="E1" t="inlineStr">
        <is>
          <t>Net Cashflow</t>
        </is>
      </c>
      <c r="F1" t="inlineStr">
        <is>
          <t>Closing Balance</t>
        </is>
      </c>
    </row>
    <row r="2">
      <c r="A2" t="inlineStr">
        <is>
          <t>Month 1</t>
        </is>
      </c>
      <c r="B2" t="inlineStr"/>
      <c r="C2" t="inlineStr"/>
      <c r="D2" t="inlineStr"/>
      <c r="E2">
        <f>C2-D2</f>
        <v/>
      </c>
      <c r="F2">
        <f>B2+E2</f>
        <v/>
      </c>
    </row>
    <row r="3">
      <c r="A3" t="inlineStr">
        <is>
          <t>Month 2</t>
        </is>
      </c>
      <c r="B3" t="inlineStr"/>
      <c r="C3" t="inlineStr"/>
      <c r="D3" t="inlineStr"/>
      <c r="E3">
        <f>C3-D3</f>
        <v/>
      </c>
      <c r="F3">
        <f>B3+E3</f>
        <v/>
      </c>
    </row>
    <row r="4">
      <c r="A4" t="inlineStr">
        <is>
          <t>Month 3</t>
        </is>
      </c>
      <c r="B4" t="inlineStr"/>
      <c r="C4" t="inlineStr"/>
      <c r="D4" t="inlineStr"/>
      <c r="E4">
        <f>C4-D4</f>
        <v/>
      </c>
      <c r="F4">
        <f>B4+E4</f>
        <v/>
      </c>
    </row>
    <row r="5">
      <c r="A5" t="inlineStr">
        <is>
          <t>Month 4</t>
        </is>
      </c>
      <c r="B5" t="inlineStr"/>
      <c r="C5" t="inlineStr"/>
      <c r="D5" t="inlineStr"/>
      <c r="E5">
        <f>C5-D5</f>
        <v/>
      </c>
      <c r="F5">
        <f>B5+E5</f>
        <v/>
      </c>
    </row>
    <row r="6">
      <c r="A6" t="inlineStr">
        <is>
          <t>Month 5</t>
        </is>
      </c>
      <c r="B6" t="inlineStr"/>
      <c r="C6" t="inlineStr"/>
      <c r="D6" t="inlineStr"/>
      <c r="E6">
        <f>C6-D6</f>
        <v/>
      </c>
      <c r="F6">
        <f>B6+E6</f>
        <v/>
      </c>
    </row>
    <row r="7">
      <c r="A7" t="inlineStr">
        <is>
          <t>Month 6</t>
        </is>
      </c>
      <c r="B7" t="inlineStr"/>
      <c r="C7" t="inlineStr"/>
      <c r="D7" t="inlineStr"/>
      <c r="E7">
        <f>C7-D7</f>
        <v/>
      </c>
      <c r="F7">
        <f>B7+E7</f>
        <v/>
      </c>
    </row>
    <row r="8">
      <c r="A8" t="inlineStr">
        <is>
          <t>Month 7</t>
        </is>
      </c>
      <c r="B8" t="inlineStr"/>
      <c r="C8" t="inlineStr"/>
      <c r="D8" t="inlineStr"/>
      <c r="E8">
        <f>C8-D8</f>
        <v/>
      </c>
      <c r="F8">
        <f>B8+E8</f>
        <v/>
      </c>
    </row>
    <row r="9">
      <c r="A9" t="inlineStr">
        <is>
          <t>Month 8</t>
        </is>
      </c>
      <c r="B9" t="inlineStr"/>
      <c r="C9" t="inlineStr"/>
      <c r="D9" t="inlineStr"/>
      <c r="E9">
        <f>C9-D9</f>
        <v/>
      </c>
      <c r="F9">
        <f>B9+E9</f>
        <v/>
      </c>
    </row>
    <row r="10">
      <c r="A10" t="inlineStr">
        <is>
          <t>Month 9</t>
        </is>
      </c>
      <c r="B10" t="inlineStr"/>
      <c r="C10" t="inlineStr"/>
      <c r="D10" t="inlineStr"/>
      <c r="E10">
        <f>C10-D10</f>
        <v/>
      </c>
      <c r="F10">
        <f>B10+E10</f>
        <v/>
      </c>
    </row>
    <row r="11">
      <c r="A11" t="inlineStr">
        <is>
          <t>Month 10</t>
        </is>
      </c>
      <c r="B11" t="inlineStr"/>
      <c r="C11" t="inlineStr"/>
      <c r="D11" t="inlineStr"/>
      <c r="E11">
        <f>C11-D11</f>
        <v/>
      </c>
      <c r="F11">
        <f>B11+E11</f>
        <v/>
      </c>
    </row>
    <row r="12">
      <c r="A12" t="inlineStr">
        <is>
          <t>Month 11</t>
        </is>
      </c>
      <c r="B12" t="inlineStr"/>
      <c r="C12" t="inlineStr"/>
      <c r="D12" t="inlineStr"/>
      <c r="E12">
        <f>C12-D12</f>
        <v/>
      </c>
      <c r="F12">
        <f>B12+E12</f>
        <v/>
      </c>
    </row>
    <row r="13">
      <c r="A13" t="inlineStr">
        <is>
          <t>Month 12</t>
        </is>
      </c>
      <c r="B13" t="inlineStr"/>
      <c r="C13" t="inlineStr"/>
      <c r="D13" t="inlineStr"/>
      <c r="E13">
        <f>C13-D13</f>
        <v/>
      </c>
      <c r="F13">
        <f>B13+E13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Number of Employees</t>
        </is>
      </c>
      <c r="C1" t="inlineStr">
        <is>
          <t>Average Salary</t>
        </is>
      </c>
      <c r="D1" t="inlineStr">
        <is>
          <t>Total Salary Cost</t>
        </is>
      </c>
      <c r="E1" t="inlineStr">
        <is>
          <t>Taxes &amp; Contributions (30%)</t>
        </is>
      </c>
      <c r="F1" t="inlineStr">
        <is>
          <t>Total Employer Cost</t>
        </is>
      </c>
    </row>
    <row r="2">
      <c r="A2" t="inlineStr">
        <is>
          <t>Engineers</t>
        </is>
      </c>
      <c r="B2" t="n">
        <v>5</v>
      </c>
      <c r="C2" t="n">
        <v>120000</v>
      </c>
      <c r="D2">
        <f>B2*C2</f>
        <v/>
      </c>
      <c r="E2">
        <f>D2*0.30</f>
        <v/>
      </c>
      <c r="F2">
        <f>D2+E2</f>
        <v/>
      </c>
    </row>
    <row r="3">
      <c r="A3" t="inlineStr">
        <is>
          <t>Installers</t>
        </is>
      </c>
      <c r="B3" t="n">
        <v>10</v>
      </c>
      <c r="C3" t="n">
        <v>90000</v>
      </c>
      <c r="D3">
        <f>B3*C3</f>
        <v/>
      </c>
      <c r="E3">
        <f>D3*0.30</f>
        <v/>
      </c>
      <c r="F3">
        <f>D3+E3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Purchase Price</t>
        </is>
      </c>
      <c r="C1" t="inlineStr">
        <is>
          <t>Stock Quantity</t>
        </is>
      </c>
      <c r="D1" t="inlineStr">
        <is>
          <t>Total Stock Value</t>
        </is>
      </c>
      <c r="E1" t="inlineStr">
        <is>
          <t>Average Monthly Usage</t>
        </is>
      </c>
      <c r="F1" t="inlineStr">
        <is>
          <t>Reorder Point</t>
        </is>
      </c>
    </row>
    <row r="2">
      <c r="A2" t="inlineStr">
        <is>
          <t>Smoke Detector</t>
        </is>
      </c>
      <c r="B2" t="n">
        <v>1500</v>
      </c>
      <c r="C2" t="n">
        <v>500</v>
      </c>
      <c r="D2">
        <f>B2*C2</f>
        <v/>
      </c>
      <c r="E2" t="n">
        <v>120</v>
      </c>
      <c r="F2">
        <f>E2*1.5</f>
        <v/>
      </c>
    </row>
    <row r="3">
      <c r="A3" t="inlineStr">
        <is>
          <t>IP Camera</t>
        </is>
      </c>
      <c r="B3" t="n">
        <v>8000</v>
      </c>
      <c r="C3" t="n">
        <v>120</v>
      </c>
      <c r="D3">
        <f>B3*C3</f>
        <v/>
      </c>
      <c r="E3" t="n">
        <v>25</v>
      </c>
      <c r="F3">
        <f>E3*1.5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Formula/Value</t>
        </is>
      </c>
    </row>
    <row r="2">
      <c r="A2" t="inlineStr">
        <is>
          <t>Total Revenue (All Projects)</t>
        </is>
      </c>
      <c r="B2">
        <f>SUM(Project_PnL!B2:B100)</f>
        <v/>
      </c>
    </row>
    <row r="3">
      <c r="A3" t="inlineStr">
        <is>
          <t>Total Gross Profit</t>
        </is>
      </c>
      <c r="B3">
        <f>SUM(Project_PnL!H2:H100)</f>
        <v/>
      </c>
    </row>
    <row r="4">
      <c r="A4" t="inlineStr">
        <is>
          <t>Average Gross Margin</t>
        </is>
      </c>
      <c r="B4">
        <f>AVERAGE(Project_PnL!I2:I100)</f>
        <v/>
      </c>
    </row>
    <row r="5">
      <c r="A5" t="inlineStr">
        <is>
          <t>Monthly Payroll Cost</t>
        </is>
      </c>
      <c r="B5">
        <f>SUM(Payroll_Model!F2:F10)</f>
        <v/>
      </c>
    </row>
    <row r="6">
      <c r="A6" t="inlineStr">
        <is>
          <t>Inventory Value</t>
        </is>
      </c>
      <c r="B6">
        <f>SUM(Warehouse_Model!D2:D100)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2026-02-23T11:38:43Z</dcterms:created>
  <dcterms:modified xmlns:dcterms="http://purl.org/dc/terms/" xmlns:xsi="http://www.w3.org/2001/XMLSchema-instance" xsi:type="dcterms:W3CDTF">2026-02-23T11:39:57Z</dcterms:modified>
</cp:coreProperties>
</file>